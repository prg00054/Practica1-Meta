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blo\Downloads\Ing.Informatica\Tercer Curso\Primer Cuatri\Meta\Practicas\Practica1\"/>
    </mc:Choice>
  </mc:AlternateContent>
  <xr:revisionPtr revIDLastSave="0" documentId="13_ncr:1_{66E277C6-A4F2-4D14-8EF8-8F9B53CDD7E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NBZwG0+XA+N2teRsoyt1N8fl1JH3Fu/a43D49Gn8P8A="/>
    </ext>
  </extLst>
</workbook>
</file>

<file path=xl/calcChain.xml><?xml version="1.0" encoding="utf-8"?>
<calcChain xmlns="http://schemas.openxmlformats.org/spreadsheetml/2006/main">
  <c r="K33" i="1" l="1"/>
  <c r="J33" i="1"/>
  <c r="I33" i="1"/>
  <c r="H33" i="1"/>
  <c r="G33" i="1"/>
  <c r="F33" i="1"/>
  <c r="E33" i="1"/>
  <c r="D33" i="1"/>
  <c r="C33" i="1"/>
  <c r="B33" i="1"/>
  <c r="K32" i="1"/>
  <c r="J32" i="1"/>
  <c r="I32" i="1"/>
  <c r="H32" i="1"/>
  <c r="G32" i="1"/>
  <c r="F32" i="1"/>
  <c r="E32" i="1"/>
  <c r="D32" i="1"/>
  <c r="C32" i="1"/>
  <c r="B32" i="1"/>
  <c r="J21" i="1"/>
  <c r="J20" i="1"/>
  <c r="J52" i="1" s="1"/>
  <c r="H21" i="1"/>
  <c r="H20" i="1"/>
  <c r="H52" i="1" s="1"/>
  <c r="F21" i="1"/>
  <c r="F20" i="1"/>
  <c r="F52" i="1" s="1"/>
  <c r="D21" i="1"/>
  <c r="D20" i="1"/>
  <c r="D52" i="1" s="1"/>
  <c r="B21" i="1"/>
  <c r="B20" i="1"/>
  <c r="B52" i="1" s="1"/>
  <c r="J9" i="1"/>
  <c r="J8" i="1"/>
  <c r="J51" i="1" s="1"/>
  <c r="H9" i="1"/>
  <c r="H8" i="1"/>
  <c r="H51" i="1" s="1"/>
  <c r="F9" i="1"/>
  <c r="F8" i="1"/>
  <c r="F51" i="1" s="1"/>
  <c r="D9" i="1"/>
  <c r="D8" i="1"/>
  <c r="D51" i="1" s="1"/>
  <c r="B9" i="1"/>
  <c r="B8" i="1"/>
  <c r="B51" i="1" s="1"/>
  <c r="K21" i="1"/>
  <c r="I21" i="1"/>
  <c r="G21" i="1"/>
  <c r="E21" i="1"/>
  <c r="C21" i="1"/>
  <c r="K20" i="1"/>
  <c r="K52" i="1" s="1"/>
  <c r="I20" i="1"/>
  <c r="I52" i="1" s="1"/>
  <c r="G20" i="1"/>
  <c r="G52" i="1" s="1"/>
  <c r="E20" i="1"/>
  <c r="E52" i="1" s="1"/>
  <c r="C20" i="1"/>
  <c r="C52" i="1" s="1"/>
  <c r="K9" i="1"/>
  <c r="K8" i="1"/>
  <c r="K51" i="1" s="1"/>
  <c r="I9" i="1"/>
  <c r="I8" i="1"/>
  <c r="I51" i="1" s="1"/>
  <c r="G9" i="1"/>
  <c r="G8" i="1"/>
  <c r="G51" i="1" s="1"/>
  <c r="E9" i="1"/>
  <c r="E8" i="1"/>
  <c r="E51" i="1" s="1"/>
  <c r="C9" i="1"/>
  <c r="C8" i="1"/>
  <c r="C51" i="1" s="1"/>
  <c r="M51" i="1" l="1"/>
  <c r="M52" i="1"/>
  <c r="L52" i="1"/>
  <c r="L51" i="1"/>
</calcChain>
</file>

<file path=xl/sharedStrings.xml><?xml version="1.0" encoding="utf-8"?>
<sst xmlns="http://schemas.openxmlformats.org/spreadsheetml/2006/main" count="114" uniqueCount="23">
  <si>
    <t>Tamaño</t>
  </si>
  <si>
    <t>Sol</t>
  </si>
  <si>
    <t>Time</t>
  </si>
  <si>
    <t>Media</t>
  </si>
  <si>
    <t>Ejecución 1</t>
  </si>
  <si>
    <t>Ejecución 2</t>
  </si>
  <si>
    <t>Ejecución 3</t>
  </si>
  <si>
    <t>Desv. típica</t>
  </si>
  <si>
    <t>AÑADIR TANTAS TABLAS COMO ALGORITMOS TENGAMOS</t>
  </si>
  <si>
    <t>MEDIA</t>
  </si>
  <si>
    <t>C</t>
  </si>
  <si>
    <t>Greedy</t>
  </si>
  <si>
    <t>TABU</t>
  </si>
  <si>
    <t>MA</t>
  </si>
  <si>
    <t>A280</t>
  </si>
  <si>
    <t>CH130</t>
  </si>
  <si>
    <t>PR144</t>
  </si>
  <si>
    <t>D18512</t>
  </si>
  <si>
    <t>U1060</t>
  </si>
  <si>
    <t>Mínimo encontrado</t>
  </si>
  <si>
    <t>Desv</t>
  </si>
  <si>
    <t>Greedy Aleatorio</t>
  </si>
  <si>
    <t>Busqueda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</si>
</sst>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2"/>
      <color rgb="FF000000"/>
      <name val="Times New Roman"/>
    </font>
    <font>
      <b/>
      <i/>
      <sz val="12"/>
      <color rgb="FF000000"/>
      <name val="Times New Roman"/>
    </font>
    <font>
      <sz val="12"/>
      <color rgb="FF000000"/>
      <name val="Times New Roman"/>
    </font>
    <font>
      <b/>
      <sz val="20"/>
      <color rgb="FF980000"/>
      <name val="Calibri"/>
      <scheme val="minor"/>
    </font>
    <font>
      <sz val="20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BACC6"/>
        <bgColor rgb="FF4BACC6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BBB59"/>
        <bgColor rgb="FF9BBB59"/>
      </patternFill>
    </fill>
  </fills>
  <borders count="21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double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double">
        <color rgb="FF000000"/>
      </left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3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2" fontId="6" fillId="0" borderId="11" xfId="0" applyNumberFormat="1" applyFont="1" applyBorder="1" applyAlignment="1">
      <alignment horizontal="center" vertical="top" wrapText="1"/>
    </xf>
    <xf numFmtId="0" fontId="7" fillId="0" borderId="0" xfId="0" applyFont="1"/>
    <xf numFmtId="0" fontId="5" fillId="5" borderId="13" xfId="0" applyFont="1" applyFill="1" applyBorder="1" applyAlignment="1">
      <alignment horizontal="center" vertical="top" wrapText="1"/>
    </xf>
    <xf numFmtId="0" fontId="4" fillId="5" borderId="14" xfId="0" applyFont="1" applyFill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2" fontId="6" fillId="5" borderId="16" xfId="0" applyNumberFormat="1" applyFont="1" applyFill="1" applyBorder="1" applyAlignment="1">
      <alignment horizontal="center" vertical="top" wrapText="1"/>
    </xf>
    <xf numFmtId="2" fontId="6" fillId="5" borderId="17" xfId="0" applyNumberFormat="1" applyFont="1" applyFill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2" fontId="6" fillId="0" borderId="19" xfId="0" applyNumberFormat="1" applyFont="1" applyBorder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2" fillId="3" borderId="20" xfId="0" applyFont="1" applyFill="1" applyBorder="1" applyAlignment="1">
      <alignment horizontal="left" vertical="center"/>
    </xf>
    <xf numFmtId="0" fontId="3" fillId="3" borderId="20" xfId="0" applyFont="1" applyFill="1" applyBorder="1" applyAlignment="1">
      <alignment horizontal="right" vertical="center"/>
    </xf>
    <xf numFmtId="0" fontId="4" fillId="0" borderId="20" xfId="0" applyFont="1" applyBorder="1" applyAlignment="1">
      <alignment horizontal="center" vertical="top" wrapText="1"/>
    </xf>
    <xf numFmtId="0" fontId="5" fillId="0" borderId="20" xfId="0" applyFont="1" applyBorder="1" applyAlignment="1">
      <alignment horizontal="center" vertical="top" wrapText="1"/>
    </xf>
    <xf numFmtId="2" fontId="6" fillId="4" borderId="20" xfId="0" applyNumberFormat="1" applyFont="1" applyFill="1" applyBorder="1" applyAlignment="1">
      <alignment horizontal="center" vertical="top" wrapText="1"/>
    </xf>
    <xf numFmtId="10" fontId="6" fillId="0" borderId="20" xfId="0" applyNumberFormat="1" applyFont="1" applyBorder="1" applyAlignment="1">
      <alignment horizontal="center" vertical="top" wrapText="1"/>
    </xf>
    <xf numFmtId="2" fontId="6" fillId="0" borderId="20" xfId="0" applyNumberFormat="1" applyFont="1" applyBorder="1" applyAlignment="1">
      <alignment horizontal="center" vertical="top" wrapText="1"/>
    </xf>
    <xf numFmtId="0" fontId="11" fillId="0" borderId="15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1" fillId="0" borderId="20" xfId="0" applyFont="1" applyBorder="1"/>
    <xf numFmtId="0" fontId="9" fillId="0" borderId="0" xfId="0" applyFont="1"/>
    <xf numFmtId="0" fontId="0" fillId="0" borderId="0" xfId="0"/>
    <xf numFmtId="0" fontId="8" fillId="2" borderId="20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left" vertical="center" wrapText="1"/>
    </xf>
    <xf numFmtId="0" fontId="3" fillId="3" borderId="20" xfId="0" applyFont="1" applyFill="1" applyBorder="1" applyAlignment="1">
      <alignment horizontal="right" vertical="center"/>
    </xf>
    <xf numFmtId="0" fontId="11" fillId="0" borderId="6" xfId="0" applyFont="1" applyBorder="1" applyAlignment="1">
      <alignment horizontal="center" vertical="top" wrapText="1"/>
    </xf>
    <xf numFmtId="0" fontId="1" fillId="0" borderId="7" xfId="0" applyFont="1" applyBorder="1"/>
    <xf numFmtId="0" fontId="4" fillId="5" borderId="4" xfId="0" applyFont="1" applyFill="1" applyBorder="1" applyAlignment="1">
      <alignment horizontal="center" vertical="top" wrapText="1"/>
    </xf>
    <xf numFmtId="0" fontId="4" fillId="5" borderId="12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" fillId="0" borderId="2" xfId="0" applyFont="1" applyBorder="1"/>
    <xf numFmtId="0" fontId="11" fillId="0" borderId="4" xfId="0" applyFont="1" applyBorder="1" applyAlignment="1">
      <alignment horizontal="center" vertical="top" wrapText="1"/>
    </xf>
    <xf numFmtId="0" fontId="1" fillId="0" borderId="5" xfId="0" applyFont="1" applyBorder="1"/>
    <xf numFmtId="0" fontId="11" fillId="0" borderId="8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97"/>
  <sheetViews>
    <sheetView tabSelected="1" topLeftCell="D14" workbookViewId="0">
      <selection activeCell="J31" sqref="J31"/>
    </sheetView>
  </sheetViews>
  <sheetFormatPr baseColWidth="10" defaultColWidth="14.44140625" defaultRowHeight="15" customHeight="1" x14ac:dyDescent="0.3"/>
  <cols>
    <col min="1" max="1" width="16.77734375" customWidth="1"/>
    <col min="2" max="2" width="10.109375" bestFit="1" customWidth="1"/>
    <col min="3" max="3" width="8.6640625" bestFit="1" customWidth="1"/>
    <col min="4" max="4" width="10.109375" bestFit="1" customWidth="1"/>
    <col min="5" max="5" width="8.6640625" bestFit="1" customWidth="1"/>
    <col min="6" max="6" width="12.6640625" bestFit="1" customWidth="1"/>
    <col min="7" max="7" width="13.77734375" bestFit="1" customWidth="1"/>
    <col min="8" max="8" width="10.44140625" bestFit="1" customWidth="1"/>
    <col min="9" max="9" width="8.6640625" bestFit="1" customWidth="1"/>
    <col min="10" max="10" width="11.5546875" bestFit="1" customWidth="1"/>
    <col min="11" max="11" width="8.6640625" bestFit="1" customWidth="1"/>
    <col min="12" max="28" width="10.44140625" customWidth="1"/>
  </cols>
  <sheetData>
    <row r="1" spans="1:11" ht="23.4" x14ac:dyDescent="0.45">
      <c r="B1" s="23" t="s">
        <v>14</v>
      </c>
      <c r="C1" s="24"/>
      <c r="D1" s="23" t="s">
        <v>15</v>
      </c>
      <c r="E1" s="24"/>
      <c r="F1" s="23" t="s">
        <v>17</v>
      </c>
      <c r="G1" s="24"/>
      <c r="H1" s="23" t="s">
        <v>16</v>
      </c>
      <c r="I1" s="24"/>
      <c r="J1" s="23" t="s">
        <v>18</v>
      </c>
      <c r="K1" s="24"/>
    </row>
    <row r="2" spans="1:11" ht="13.5" customHeight="1" x14ac:dyDescent="0.3">
      <c r="A2" s="25" t="s">
        <v>11</v>
      </c>
      <c r="B2" s="13" t="s">
        <v>0</v>
      </c>
      <c r="C2" s="14">
        <v>280</v>
      </c>
      <c r="D2" s="13" t="s">
        <v>0</v>
      </c>
      <c r="E2" s="14">
        <v>130</v>
      </c>
      <c r="F2" s="13" t="s">
        <v>0</v>
      </c>
      <c r="G2" s="14">
        <v>18512</v>
      </c>
      <c r="H2" s="13" t="s">
        <v>0</v>
      </c>
      <c r="I2" s="14">
        <v>144</v>
      </c>
      <c r="J2" s="13" t="s">
        <v>0</v>
      </c>
      <c r="K2" s="14">
        <v>1060</v>
      </c>
    </row>
    <row r="3" spans="1:11" ht="15" customHeight="1" x14ac:dyDescent="0.3">
      <c r="A3" s="22"/>
      <c r="B3" s="26" t="s">
        <v>19</v>
      </c>
      <c r="C3" s="27">
        <v>2579</v>
      </c>
      <c r="D3" s="26" t="s">
        <v>19</v>
      </c>
      <c r="E3" s="27">
        <v>6110</v>
      </c>
      <c r="F3" s="26" t="s">
        <v>19</v>
      </c>
      <c r="G3" s="27">
        <v>645238</v>
      </c>
      <c r="H3" s="26" t="s">
        <v>19</v>
      </c>
      <c r="I3" s="27">
        <v>58537</v>
      </c>
      <c r="J3" s="26" t="s">
        <v>19</v>
      </c>
      <c r="K3" s="27">
        <v>224094</v>
      </c>
    </row>
    <row r="4" spans="1:11" ht="14.4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6.5" customHeight="1" x14ac:dyDescent="0.3">
      <c r="A5" s="22"/>
      <c r="B5" s="21"/>
      <c r="C5" s="22"/>
      <c r="D5" s="21"/>
      <c r="E5" s="22"/>
      <c r="F5" s="21"/>
      <c r="G5" s="22"/>
      <c r="H5" s="21"/>
      <c r="I5" s="22"/>
      <c r="J5" s="21"/>
      <c r="K5" s="22"/>
    </row>
    <row r="6" spans="1:11" ht="16.2" x14ac:dyDescent="0.3">
      <c r="A6" s="22"/>
      <c r="B6" s="16" t="s">
        <v>1</v>
      </c>
      <c r="C6" s="15" t="s">
        <v>2</v>
      </c>
      <c r="D6" s="16" t="s">
        <v>1</v>
      </c>
      <c r="E6" s="15" t="s">
        <v>2</v>
      </c>
      <c r="F6" s="16" t="s">
        <v>1</v>
      </c>
      <c r="G6" s="15" t="s">
        <v>2</v>
      </c>
      <c r="H6" s="16" t="s">
        <v>1</v>
      </c>
      <c r="I6" s="15" t="s">
        <v>2</v>
      </c>
      <c r="J6" s="16" t="s">
        <v>1</v>
      </c>
      <c r="K6" s="15" t="s">
        <v>2</v>
      </c>
    </row>
    <row r="7" spans="1:11" ht="15.6" x14ac:dyDescent="0.3">
      <c r="A7" s="15" t="s">
        <v>4</v>
      </c>
      <c r="B7" s="17">
        <v>30296.82</v>
      </c>
      <c r="C7" s="17">
        <v>0</v>
      </c>
      <c r="D7" s="17">
        <v>40397.47</v>
      </c>
      <c r="E7" s="17">
        <v>0.99399999999999999</v>
      </c>
      <c r="F7" s="17">
        <v>51161687.810000002</v>
      </c>
      <c r="G7" s="17">
        <v>234665.56880000001</v>
      </c>
      <c r="H7" s="17">
        <v>640770.88</v>
      </c>
      <c r="I7" s="17">
        <v>0.30349999999999999</v>
      </c>
      <c r="J7" s="17">
        <v>5670064.4900000002</v>
      </c>
      <c r="K7" s="17">
        <v>15.7926</v>
      </c>
    </row>
    <row r="8" spans="1:11" ht="15.6" x14ac:dyDescent="0.3">
      <c r="A8" s="15" t="s">
        <v>3</v>
      </c>
      <c r="B8" s="18">
        <f>AVERAGE((B7-C$3)/C$3)</f>
        <v>10.747506785575805</v>
      </c>
      <c r="C8" s="19">
        <f>AVERAGE(C7:C7)</f>
        <v>0</v>
      </c>
      <c r="D8" s="18">
        <f>AVERAGE((D7-E$3)/E$3)</f>
        <v>5.6116972176759417</v>
      </c>
      <c r="E8" s="19">
        <f>AVERAGE(E7:E7)</f>
        <v>0.99399999999999999</v>
      </c>
      <c r="F8" s="18">
        <f>AVERAGE((F7-G$3)/G$3)</f>
        <v>78.291188383201245</v>
      </c>
      <c r="G8" s="19">
        <f>AVERAGE(G7:G7)</f>
        <v>234665.56880000001</v>
      </c>
      <c r="H8" s="18">
        <f>AVERAGE((H7-I$3)/I$3)</f>
        <v>9.9464249961562778</v>
      </c>
      <c r="I8" s="19">
        <f>AVERAGE(I7:I7)</f>
        <v>0.30349999999999999</v>
      </c>
      <c r="J8" s="18">
        <f>AVERAGE((J7-K$3)/K$3)</f>
        <v>24.302170026863728</v>
      </c>
      <c r="K8" s="19">
        <f>AVERAGE(K7:K7)</f>
        <v>15.7926</v>
      </c>
    </row>
    <row r="9" spans="1:11" ht="15.6" x14ac:dyDescent="0.3">
      <c r="A9" s="15" t="s">
        <v>7</v>
      </c>
      <c r="B9" s="19" t="e">
        <f>STDEV((B7-C$3)/C$3)</f>
        <v>#DIV/0!</v>
      </c>
      <c r="C9" s="19" t="e">
        <f>STDEV(C7:C7)</f>
        <v>#DIV/0!</v>
      </c>
      <c r="D9" s="19" t="e">
        <f>STDEV((D7-E$3)/E$3)</f>
        <v>#DIV/0!</v>
      </c>
      <c r="E9" s="19" t="e">
        <f>STDEV(E7:E7)</f>
        <v>#DIV/0!</v>
      </c>
      <c r="F9" s="19" t="e">
        <f>STDEV((F7-G$3)/G$3)</f>
        <v>#DIV/0!</v>
      </c>
      <c r="G9" s="19" t="e">
        <f>STDEV(G7:G7)</f>
        <v>#DIV/0!</v>
      </c>
      <c r="H9" s="19" t="e">
        <f>STDEV((H7-I$3)/I$3)</f>
        <v>#DIV/0!</v>
      </c>
      <c r="I9" s="19" t="e">
        <f>STDEV(I7:I7)</f>
        <v>#DIV/0!</v>
      </c>
      <c r="J9" s="19" t="e">
        <f>STDEV((J7-K$3)/K$3)</f>
        <v>#DIV/0!</v>
      </c>
      <c r="K9" s="19" t="e">
        <f>STDEV(K7:K7)</f>
        <v>#DIV/0!</v>
      </c>
    </row>
    <row r="11" spans="1:11" ht="23.4" x14ac:dyDescent="0.45">
      <c r="B11" s="23" t="s">
        <v>14</v>
      </c>
      <c r="C11" s="24"/>
      <c r="D11" s="23" t="s">
        <v>15</v>
      </c>
      <c r="E11" s="24"/>
      <c r="F11" s="23" t="s">
        <v>17</v>
      </c>
      <c r="G11" s="24"/>
      <c r="H11" s="23" t="s">
        <v>16</v>
      </c>
      <c r="I11" s="24"/>
      <c r="J11" s="23" t="s">
        <v>18</v>
      </c>
      <c r="K11" s="24"/>
    </row>
    <row r="12" spans="1:11" ht="13.5" customHeight="1" x14ac:dyDescent="0.3">
      <c r="A12" s="25" t="s">
        <v>21</v>
      </c>
      <c r="B12" s="13" t="s">
        <v>0</v>
      </c>
      <c r="C12" s="14">
        <v>280</v>
      </c>
      <c r="D12" s="13" t="s">
        <v>0</v>
      </c>
      <c r="E12" s="14">
        <v>130</v>
      </c>
      <c r="F12" s="13" t="s">
        <v>0</v>
      </c>
      <c r="G12" s="14">
        <v>18512</v>
      </c>
      <c r="H12" s="13" t="s">
        <v>0</v>
      </c>
      <c r="I12" s="14">
        <v>144</v>
      </c>
      <c r="J12" s="13" t="s">
        <v>0</v>
      </c>
      <c r="K12" s="14">
        <v>1060</v>
      </c>
    </row>
    <row r="13" spans="1:11" ht="15" customHeight="1" x14ac:dyDescent="0.3">
      <c r="A13" s="22"/>
      <c r="B13" s="26" t="s">
        <v>19</v>
      </c>
      <c r="C13" s="27">
        <v>2579</v>
      </c>
      <c r="D13" s="26" t="s">
        <v>19</v>
      </c>
      <c r="E13" s="27">
        <v>6110</v>
      </c>
      <c r="F13" s="26" t="s">
        <v>19</v>
      </c>
      <c r="G13" s="27">
        <v>645238</v>
      </c>
      <c r="H13" s="26" t="s">
        <v>19</v>
      </c>
      <c r="I13" s="27">
        <v>58537</v>
      </c>
      <c r="J13" s="26" t="s">
        <v>19</v>
      </c>
      <c r="K13" s="27">
        <v>224094</v>
      </c>
    </row>
    <row r="14" spans="1:11" ht="14.4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6.5" customHeight="1" x14ac:dyDescent="0.3">
      <c r="A15" s="22"/>
      <c r="B15" s="21"/>
      <c r="C15" s="22"/>
      <c r="D15" s="21"/>
      <c r="E15" s="22"/>
      <c r="F15" s="21"/>
      <c r="G15" s="22"/>
      <c r="H15" s="21"/>
      <c r="I15" s="22"/>
      <c r="J15" s="21"/>
      <c r="K15" s="22"/>
    </row>
    <row r="16" spans="1:11" ht="16.2" x14ac:dyDescent="0.3">
      <c r="A16" s="22"/>
      <c r="B16" s="16" t="s">
        <v>1</v>
      </c>
      <c r="C16" s="15" t="s">
        <v>2</v>
      </c>
      <c r="D16" s="16" t="s">
        <v>1</v>
      </c>
      <c r="E16" s="15" t="s">
        <v>2</v>
      </c>
      <c r="F16" s="16" t="s">
        <v>1</v>
      </c>
      <c r="G16" s="15" t="s">
        <v>2</v>
      </c>
      <c r="H16" s="16" t="s">
        <v>1</v>
      </c>
      <c r="I16" s="15" t="s">
        <v>2</v>
      </c>
      <c r="J16" s="16" t="s">
        <v>1</v>
      </c>
      <c r="K16" s="15" t="s">
        <v>2</v>
      </c>
    </row>
    <row r="17" spans="1:11" ht="15.6" x14ac:dyDescent="0.3">
      <c r="A17" s="15" t="s">
        <v>4</v>
      </c>
      <c r="B17" s="17">
        <v>32022.14</v>
      </c>
      <c r="C17" s="17">
        <v>1.4481999999999999</v>
      </c>
      <c r="D17" s="17">
        <v>41067.82</v>
      </c>
      <c r="E17" s="17">
        <v>0.21149999999999999</v>
      </c>
      <c r="F17" s="17">
        <v>50953722.229999997</v>
      </c>
      <c r="G17" s="17">
        <v>109844.6572</v>
      </c>
      <c r="H17" s="17">
        <v>755342.33</v>
      </c>
      <c r="I17" s="17">
        <v>0.25030000000000002</v>
      </c>
      <c r="J17" s="17">
        <v>5543598.1699999999</v>
      </c>
      <c r="K17" s="17">
        <v>12.714600000000001</v>
      </c>
    </row>
    <row r="18" spans="1:11" ht="15.6" x14ac:dyDescent="0.3">
      <c r="A18" s="15" t="s">
        <v>5</v>
      </c>
      <c r="B18" s="17">
        <v>29737.78</v>
      </c>
      <c r="C18" s="17">
        <v>0.80279999999999996</v>
      </c>
      <c r="D18" s="17">
        <v>42695.9</v>
      </c>
      <c r="E18" s="17">
        <v>0.20480000000000001</v>
      </c>
      <c r="F18" s="17">
        <v>51190585.380000003</v>
      </c>
      <c r="G18" s="17">
        <v>111537.1268</v>
      </c>
      <c r="H18" s="17">
        <v>704305.05</v>
      </c>
      <c r="I18" s="17">
        <v>0.25340000000000001</v>
      </c>
      <c r="J18" s="17">
        <v>5613886.1699999999</v>
      </c>
      <c r="K18" s="17">
        <v>10.8314</v>
      </c>
    </row>
    <row r="19" spans="1:11" ht="15.6" x14ac:dyDescent="0.3">
      <c r="A19" s="15" t="s">
        <v>6</v>
      </c>
      <c r="B19" s="17">
        <v>31822.73</v>
      </c>
      <c r="C19" s="17">
        <v>0.75290000000000001</v>
      </c>
      <c r="D19" s="17">
        <v>43773.279999999999</v>
      </c>
      <c r="E19" s="17">
        <v>0.21149999999999999</v>
      </c>
      <c r="F19" s="17">
        <v>51649788.170000002</v>
      </c>
      <c r="G19" s="17">
        <v>109988455.09999999</v>
      </c>
      <c r="H19" s="17">
        <v>603251.89</v>
      </c>
      <c r="I19" s="17">
        <v>0.2601</v>
      </c>
      <c r="J19" s="17">
        <v>5573725.3499999996</v>
      </c>
      <c r="K19" s="17">
        <v>11.946</v>
      </c>
    </row>
    <row r="20" spans="1:11" ht="15.6" x14ac:dyDescent="0.3">
      <c r="A20" s="15" t="s">
        <v>3</v>
      </c>
      <c r="B20" s="18">
        <f>AVERAGE((B17-C$3)/C$3,(B18-C$3)/C$3,(B19-C$3)/C$3)</f>
        <v>11.095469820343803</v>
      </c>
      <c r="C20" s="19">
        <f>AVERAGE(C17:C19)</f>
        <v>1.0012999999999999</v>
      </c>
      <c r="D20" s="18">
        <f>AVERAGE((D17-E$3)/E$3,(D18-E$3)/E$3,(D19-E$3)/E$3)</f>
        <v>5.957828696126569</v>
      </c>
      <c r="E20" s="19">
        <f>AVERAGE(E17:E19)</f>
        <v>0.20926666666666668</v>
      </c>
      <c r="F20" s="18">
        <f>AVERAGE((F17-G$3)/G$3,(F18-G$3)/G$3,(F19-G$3)/G$3)</f>
        <v>78.450836115252557</v>
      </c>
      <c r="G20" s="19">
        <f>AVERAGE(G17:G19)</f>
        <v>36736612.294666663</v>
      </c>
      <c r="H20" s="18">
        <f>AVERAGE((H17-I$3)/I$3,(H18-I$3)/I$3,(H19-I$3)/I$3)</f>
        <v>10.74698207971027</v>
      </c>
      <c r="I20" s="19">
        <f>AVERAGE(I17:I19)</f>
        <v>0.25459999999999999</v>
      </c>
      <c r="J20" s="18">
        <f>AVERAGE((J17-K$3)/K$3,(J18-K$3)/K$3,(J19-K$3)/K$3)</f>
        <v>23.887189735854893</v>
      </c>
      <c r="K20" s="19">
        <f>AVERAGE(K17:K19)</f>
        <v>11.830666666666666</v>
      </c>
    </row>
    <row r="21" spans="1:11" ht="15.6" x14ac:dyDescent="0.3">
      <c r="A21" s="15" t="s">
        <v>7</v>
      </c>
      <c r="B21" s="19">
        <f>STDEV((B17-C$3)/C$3,(B18-C$3)/C$3,(B19-C$3)/C$3)</f>
        <v>0.49059549839620331</v>
      </c>
      <c r="C21" s="19">
        <f>STDEV(C17:C19)</f>
        <v>0.38783013034059133</v>
      </c>
      <c r="D21" s="19">
        <f>STDEV((D17-E$3)/E$3,(D18-E$3)/E$3,(D19-E$3)/E$3)</f>
        <v>0.2229196853687416</v>
      </c>
      <c r="E21" s="19">
        <f>STDEV(E17:E19)</f>
        <v>3.8682468035704833E-3</v>
      </c>
      <c r="F21" s="19">
        <f>STDEV((F17-G$3)/G$3,(F18-G$3)/G$3,(F19-G$3)/G$3)</f>
        <v>0.54848266400633539</v>
      </c>
      <c r="G21" s="19">
        <f>STDEV(G17:G19)</f>
        <v>63437956.749087222</v>
      </c>
      <c r="H21" s="19">
        <f>STDEV((H17-I$3)/I$3,(H18-I$3)/I$3,(H19-I$3)/I$3)</f>
        <v>1.3223047688377811</v>
      </c>
      <c r="I21" s="19">
        <f>STDEV(I17:I19)</f>
        <v>5.0089919145472651E-3</v>
      </c>
      <c r="J21" s="19">
        <f>STDEV((J17-K$3)/K$3,(J18-K$3)/K$3,(J19-K$3)/K$3)</f>
        <v>0.15735877283524133</v>
      </c>
      <c r="K21" s="19">
        <f>STDEV(K17:K19)</f>
        <v>0.94688272417091524</v>
      </c>
    </row>
    <row r="23" spans="1:11" ht="25.8" customHeight="1" x14ac:dyDescent="0.45">
      <c r="B23" s="23" t="s">
        <v>14</v>
      </c>
      <c r="C23" s="24"/>
      <c r="D23" s="23" t="s">
        <v>15</v>
      </c>
      <c r="E23" s="24"/>
      <c r="F23" s="23" t="s">
        <v>17</v>
      </c>
      <c r="G23" s="24"/>
      <c r="H23" s="23" t="s">
        <v>16</v>
      </c>
      <c r="I23" s="24"/>
      <c r="J23" s="23" t="s">
        <v>18</v>
      </c>
      <c r="K23" s="24"/>
    </row>
    <row r="24" spans="1:11" ht="15" customHeight="1" x14ac:dyDescent="0.3">
      <c r="A24" s="25" t="s">
        <v>22</v>
      </c>
      <c r="B24" s="13" t="s">
        <v>0</v>
      </c>
      <c r="C24" s="14">
        <v>280</v>
      </c>
      <c r="D24" s="13" t="s">
        <v>0</v>
      </c>
      <c r="E24" s="14">
        <v>130</v>
      </c>
      <c r="F24" s="13" t="s">
        <v>0</v>
      </c>
      <c r="G24" s="14">
        <v>18512</v>
      </c>
      <c r="H24" s="13" t="s">
        <v>0</v>
      </c>
      <c r="I24" s="14">
        <v>144</v>
      </c>
      <c r="J24" s="13" t="s">
        <v>0</v>
      </c>
      <c r="K24" s="14">
        <v>1060</v>
      </c>
    </row>
    <row r="25" spans="1:11" ht="14.4" x14ac:dyDescent="0.3">
      <c r="A25" s="22"/>
      <c r="B25" s="26" t="s">
        <v>19</v>
      </c>
      <c r="C25" s="27">
        <v>2579</v>
      </c>
      <c r="D25" s="26" t="s">
        <v>19</v>
      </c>
      <c r="E25" s="27">
        <v>6110</v>
      </c>
      <c r="F25" s="26" t="s">
        <v>19</v>
      </c>
      <c r="G25" s="27">
        <v>645238</v>
      </c>
      <c r="H25" s="26" t="s">
        <v>19</v>
      </c>
      <c r="I25" s="27">
        <v>58537</v>
      </c>
      <c r="J25" s="26" t="s">
        <v>19</v>
      </c>
      <c r="K25" s="27">
        <v>224094</v>
      </c>
    </row>
    <row r="26" spans="1:11" ht="15" customHeight="1" x14ac:dyDescent="0.3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5.75" customHeight="1" x14ac:dyDescent="0.3">
      <c r="A27" s="22"/>
      <c r="B27" s="21"/>
      <c r="C27" s="22"/>
      <c r="D27" s="21"/>
      <c r="E27" s="22"/>
      <c r="F27" s="21"/>
      <c r="G27" s="22"/>
      <c r="H27" s="21"/>
      <c r="I27" s="22"/>
      <c r="J27" s="21"/>
      <c r="K27" s="22"/>
    </row>
    <row r="28" spans="1:11" ht="15.75" customHeight="1" x14ac:dyDescent="0.3">
      <c r="A28" s="22"/>
      <c r="B28" s="16" t="s">
        <v>1</v>
      </c>
      <c r="C28" s="15" t="s">
        <v>2</v>
      </c>
      <c r="D28" s="16" t="s">
        <v>1</v>
      </c>
      <c r="E28" s="15" t="s">
        <v>2</v>
      </c>
      <c r="F28" s="16" t="s">
        <v>1</v>
      </c>
      <c r="G28" s="15" t="s">
        <v>2</v>
      </c>
      <c r="H28" s="16" t="s">
        <v>1</v>
      </c>
      <c r="I28" s="15" t="s">
        <v>2</v>
      </c>
      <c r="J28" s="16" t="s">
        <v>1</v>
      </c>
      <c r="K28" s="15" t="s">
        <v>2</v>
      </c>
    </row>
    <row r="29" spans="1:11" ht="15.75" customHeight="1" x14ac:dyDescent="0.3">
      <c r="A29" s="15" t="s">
        <v>4</v>
      </c>
      <c r="B29" s="17">
        <v>13636.36</v>
      </c>
      <c r="C29" s="17">
        <v>9.5574999999999992</v>
      </c>
      <c r="D29" s="17">
        <v>14260.8</v>
      </c>
      <c r="E29" s="17">
        <v>6.3170999999999999</v>
      </c>
      <c r="F29" s="17">
        <v>51394136.049999997</v>
      </c>
      <c r="G29" s="17">
        <v>173436.6257</v>
      </c>
      <c r="H29" s="17">
        <v>225651.23</v>
      </c>
      <c r="I29" s="17">
        <v>10.911899999999999</v>
      </c>
      <c r="J29" s="17">
        <v>3483130.73</v>
      </c>
      <c r="K29" s="17">
        <v>34.001399999999997</v>
      </c>
    </row>
    <row r="30" spans="1:11" ht="15.75" customHeight="1" x14ac:dyDescent="0.3">
      <c r="A30" s="15" t="s">
        <v>5</v>
      </c>
      <c r="B30" s="17">
        <v>13178.49</v>
      </c>
      <c r="C30" s="17">
        <v>9.2847000000000008</v>
      </c>
      <c r="D30" s="17">
        <v>15545.3</v>
      </c>
      <c r="E30" s="17">
        <v>7.1111000000000004</v>
      </c>
      <c r="F30" s="17">
        <v>50743744.5</v>
      </c>
      <c r="G30" s="17">
        <v>164031.9927</v>
      </c>
      <c r="H30" s="17">
        <v>265243.32</v>
      </c>
      <c r="I30" s="17">
        <v>14.889200000000001</v>
      </c>
      <c r="J30" s="17">
        <v>3401755.73</v>
      </c>
      <c r="K30" s="17">
        <v>43.829000000000001</v>
      </c>
    </row>
    <row r="31" spans="1:11" ht="15.75" customHeight="1" x14ac:dyDescent="0.3">
      <c r="A31" s="15" t="s">
        <v>6</v>
      </c>
      <c r="B31" s="17">
        <v>14191.92</v>
      </c>
      <c r="C31" s="17">
        <v>6.4379999999999997</v>
      </c>
      <c r="D31" s="17">
        <v>16510.27</v>
      </c>
      <c r="E31" s="17">
        <v>6.0346000000000002</v>
      </c>
      <c r="F31" s="17">
        <v>50962909.799999997</v>
      </c>
      <c r="G31" s="17">
        <v>182635.92929999999</v>
      </c>
      <c r="H31" s="17">
        <v>277422.81</v>
      </c>
      <c r="I31" s="17">
        <v>17.801300000000001</v>
      </c>
      <c r="J31" s="17">
        <v>3538871.8</v>
      </c>
      <c r="K31" s="17">
        <v>40.497799999999998</v>
      </c>
    </row>
    <row r="32" spans="1:11" ht="15.75" customHeight="1" x14ac:dyDescent="0.3">
      <c r="A32" s="15" t="s">
        <v>3</v>
      </c>
      <c r="B32" s="18">
        <f>AVERAGE((B29-C$3)/C$3,(B30-C$3)/C$3,(B31-C$3)/C$3)</f>
        <v>4.3000865968721724</v>
      </c>
      <c r="C32" s="19">
        <f>AVERAGE(C29:C31)</f>
        <v>8.426733333333333</v>
      </c>
      <c r="D32" s="18">
        <f>AVERAGE((D29-E$3)/E$3,(D30-E$3)/E$3,(D31-E$3)/E$3)</f>
        <v>1.5268068739770868</v>
      </c>
      <c r="E32" s="19">
        <f>AVERAGE(E29:E31)</f>
        <v>6.4876000000000005</v>
      </c>
      <c r="F32" s="18">
        <f>AVERAGE((F29-G$3)/G$3,(F30-G$3)/G$3,(F31-G$3)/G$3)</f>
        <v>78.09267089559718</v>
      </c>
      <c r="G32" s="19">
        <f>AVERAGE(G29:G31)</f>
        <v>173368.18256666666</v>
      </c>
      <c r="H32" s="18">
        <f>AVERAGE((H29-I$3)/I$3,(H30-I$3)/I$3,(H31-I$3)/I$3)</f>
        <v>3.3751095318630386</v>
      </c>
      <c r="I32" s="19">
        <f>AVERAGE(I29:I31)</f>
        <v>14.534133333333335</v>
      </c>
      <c r="J32" s="18">
        <f>AVERAGE((J29-K$3)/K$3,(J30-K$3)/K$3,(J31-K$3)/K$3)</f>
        <v>14.505038451126163</v>
      </c>
      <c r="K32" s="19">
        <f>AVERAGE(K29:K31)</f>
        <v>39.442733333333329</v>
      </c>
    </row>
    <row r="33" spans="1:11" ht="15.75" customHeight="1" x14ac:dyDescent="0.3">
      <c r="A33" s="15" t="s">
        <v>7</v>
      </c>
      <c r="B33" s="19">
        <f>STDEV((B29-C$3)/C$3,(B30-C$3)/C$3,(B31-C$3)/C$3)</f>
        <v>0.19678136186461742</v>
      </c>
      <c r="C33" s="19">
        <f>STDEV(C29:C31)</f>
        <v>1.7276863613901003</v>
      </c>
      <c r="D33" s="19">
        <f>STDEV((D29-E$3)/E$3,(D30-E$3)/E$3,(D31-E$3)/E$3)</f>
        <v>0.18469902004665073</v>
      </c>
      <c r="E33" s="19">
        <f>STDEV(E29:E31)</f>
        <v>0.55813596013874633</v>
      </c>
      <c r="F33" s="19">
        <f>STDEV((F29-G$3)/G$3,(F30-G$3)/G$3,(F31-G$3)/G$3)</f>
        <v>0.51284566107356222</v>
      </c>
      <c r="G33" s="19">
        <f>STDEV(G29:G31)</f>
        <v>9302.157147730848</v>
      </c>
      <c r="H33" s="19">
        <f>STDEV((H29-I$3)/I$3,(H30-I$3)/I$3,(H31-I$3)/I$3)</f>
        <v>0.46241419329654254</v>
      </c>
      <c r="I33" s="19">
        <f>STDEV(I29:I31)</f>
        <v>3.4583973663148275</v>
      </c>
      <c r="J33" s="19">
        <f>STDEV((J29-K$3)/K$3,(J30-K$3)/K$3,(J31-K$3)/K$3)</f>
        <v>0.3077112064957051</v>
      </c>
      <c r="K33" s="19">
        <f>STDEV(K29:K31)</f>
        <v>4.998030081275366</v>
      </c>
    </row>
    <row r="34" spans="1:11" ht="15.75" customHeight="1" x14ac:dyDescent="0.5">
      <c r="A34" s="4"/>
    </row>
    <row r="35" spans="1:11" ht="15.75" customHeight="1" x14ac:dyDescent="0.3"/>
    <row r="36" spans="1:11" ht="15.75" customHeight="1" x14ac:dyDescent="0.3"/>
    <row r="37" spans="1:11" ht="15.75" customHeight="1" x14ac:dyDescent="0.3"/>
    <row r="38" spans="1:11" ht="15.75" customHeight="1" x14ac:dyDescent="0.3"/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5">
      <c r="A46" s="4" t="s">
        <v>8</v>
      </c>
    </row>
    <row r="47" spans="1:11" ht="15.75" customHeight="1" x14ac:dyDescent="0.3"/>
    <row r="48" spans="1:11" ht="15.75" customHeight="1" thickBot="1" x14ac:dyDescent="0.35"/>
    <row r="49" spans="1:13" ht="15.75" customHeight="1" thickTop="1" thickBot="1" x14ac:dyDescent="0.35">
      <c r="A49" s="32"/>
      <c r="B49" s="34" t="s">
        <v>14</v>
      </c>
      <c r="C49" s="35"/>
      <c r="D49" s="28" t="s">
        <v>15</v>
      </c>
      <c r="E49" s="29"/>
      <c r="F49" s="36" t="s">
        <v>17</v>
      </c>
      <c r="G49" s="35"/>
      <c r="H49" s="28" t="s">
        <v>16</v>
      </c>
      <c r="I49" s="29"/>
      <c r="J49" s="28" t="s">
        <v>18</v>
      </c>
      <c r="K49" s="29"/>
      <c r="L49" s="30" t="s">
        <v>9</v>
      </c>
      <c r="M49" s="31"/>
    </row>
    <row r="50" spans="1:13" ht="15.75" customHeight="1" thickBot="1" x14ac:dyDescent="0.35">
      <c r="A50" s="33"/>
      <c r="B50" s="12" t="s">
        <v>20</v>
      </c>
      <c r="C50" s="1" t="s">
        <v>2</v>
      </c>
      <c r="D50" s="12" t="s">
        <v>20</v>
      </c>
      <c r="E50" s="2" t="s">
        <v>2</v>
      </c>
      <c r="F50" s="12" t="s">
        <v>20</v>
      </c>
      <c r="G50" s="1" t="s">
        <v>2</v>
      </c>
      <c r="H50" s="12" t="s">
        <v>20</v>
      </c>
      <c r="I50" s="2" t="s">
        <v>2</v>
      </c>
      <c r="J50" s="12" t="s">
        <v>20</v>
      </c>
      <c r="K50" s="2" t="s">
        <v>2</v>
      </c>
      <c r="L50" s="5" t="s">
        <v>10</v>
      </c>
      <c r="M50" s="6" t="s">
        <v>2</v>
      </c>
    </row>
    <row r="51" spans="1:13" ht="15.75" customHeight="1" thickTop="1" thickBot="1" x14ac:dyDescent="0.35">
      <c r="A51" s="7" t="s">
        <v>11</v>
      </c>
      <c r="B51" s="3">
        <f t="shared" ref="B51:K51" si="0">B8</f>
        <v>10.747506785575805</v>
      </c>
      <c r="C51" s="3">
        <f t="shared" si="0"/>
        <v>0</v>
      </c>
      <c r="D51" s="3">
        <f t="shared" si="0"/>
        <v>5.6116972176759417</v>
      </c>
      <c r="E51" s="3">
        <f t="shared" si="0"/>
        <v>0.99399999999999999</v>
      </c>
      <c r="F51" s="3">
        <f t="shared" si="0"/>
        <v>78.291188383201245</v>
      </c>
      <c r="G51" s="3">
        <f t="shared" si="0"/>
        <v>234665.56880000001</v>
      </c>
      <c r="H51" s="3">
        <f t="shared" si="0"/>
        <v>9.9464249961562778</v>
      </c>
      <c r="I51" s="3">
        <f t="shared" si="0"/>
        <v>0.30349999999999999</v>
      </c>
      <c r="J51" s="3">
        <f t="shared" si="0"/>
        <v>24.302170026863728</v>
      </c>
      <c r="K51" s="3">
        <f t="shared" si="0"/>
        <v>15.7926</v>
      </c>
      <c r="L51" s="8">
        <f>AVERAGE(B51,D51,F51,H51,J51)</f>
        <v>25.779797481894597</v>
      </c>
      <c r="M51" s="8">
        <f>AVERAGE(C51,E51,G51,I51,K51)</f>
        <v>46936.531780000005</v>
      </c>
    </row>
    <row r="52" spans="1:13" ht="15.75" customHeight="1" thickBot="1" x14ac:dyDescent="0.35">
      <c r="A52" s="20" t="s">
        <v>21</v>
      </c>
      <c r="B52" s="3">
        <f t="shared" ref="B52:K52" si="1">B20</f>
        <v>11.095469820343803</v>
      </c>
      <c r="C52" s="3">
        <f t="shared" si="1"/>
        <v>1.0012999999999999</v>
      </c>
      <c r="D52" s="3">
        <f t="shared" si="1"/>
        <v>5.957828696126569</v>
      </c>
      <c r="E52" s="3">
        <f t="shared" si="1"/>
        <v>0.20926666666666668</v>
      </c>
      <c r="F52" s="3">
        <f t="shared" si="1"/>
        <v>78.450836115252557</v>
      </c>
      <c r="G52" s="3">
        <f t="shared" si="1"/>
        <v>36736612.294666663</v>
      </c>
      <c r="H52" s="3">
        <f t="shared" si="1"/>
        <v>10.74698207971027</v>
      </c>
      <c r="I52" s="3">
        <f t="shared" si="1"/>
        <v>0.25459999999999999</v>
      </c>
      <c r="J52" s="3">
        <f t="shared" si="1"/>
        <v>23.887189735854893</v>
      </c>
      <c r="K52" s="3">
        <f t="shared" si="1"/>
        <v>11.830666666666666</v>
      </c>
      <c r="L52" s="8">
        <f>AVERAGE(B52,D52,F52,H52,J52)</f>
        <v>26.027661289457619</v>
      </c>
      <c r="M52" s="8">
        <f>AVERAGE(C52,E52,G52,I52,K52)</f>
        <v>7347325.1181000005</v>
      </c>
    </row>
    <row r="53" spans="1:13" ht="15.75" customHeight="1" thickBot="1" x14ac:dyDescent="0.35">
      <c r="A53" s="10" t="s">
        <v>12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8"/>
      <c r="M53" s="9"/>
    </row>
    <row r="54" spans="1:13" ht="15.75" customHeight="1" thickTop="1" thickBot="1" x14ac:dyDescent="0.35">
      <c r="A54" s="10" t="s">
        <v>13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8"/>
      <c r="M54" s="9"/>
    </row>
    <row r="55" spans="1:13" ht="15.75" customHeight="1" thickTop="1" x14ac:dyDescent="0.3"/>
    <row r="56" spans="1:13" ht="15.75" customHeight="1" x14ac:dyDescent="0.3"/>
    <row r="57" spans="1:13" ht="15.75" customHeight="1" x14ac:dyDescent="0.3"/>
    <row r="58" spans="1:13" ht="15.75" customHeight="1" x14ac:dyDescent="0.3"/>
    <row r="59" spans="1:13" ht="15.75" customHeight="1" x14ac:dyDescent="0.3"/>
    <row r="60" spans="1:13" ht="15.75" customHeight="1" x14ac:dyDescent="0.3"/>
    <row r="61" spans="1:13" ht="15.75" customHeight="1" x14ac:dyDescent="0.3"/>
    <row r="62" spans="1:13" ht="15.75" customHeight="1" x14ac:dyDescent="0.3"/>
    <row r="63" spans="1:13" ht="15.75" customHeight="1" x14ac:dyDescent="0.3"/>
    <row r="64" spans="1:13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70">
    <mergeCell ref="J1:K1"/>
    <mergeCell ref="J3:J4"/>
    <mergeCell ref="K3:K4"/>
    <mergeCell ref="J5:K5"/>
    <mergeCell ref="J49:K49"/>
    <mergeCell ref="B1:C1"/>
    <mergeCell ref="D1:E1"/>
    <mergeCell ref="F1:G1"/>
    <mergeCell ref="H1:I1"/>
    <mergeCell ref="H3:H4"/>
    <mergeCell ref="I3:I4"/>
    <mergeCell ref="B3:B4"/>
    <mergeCell ref="C3:C4"/>
    <mergeCell ref="D3:D4"/>
    <mergeCell ref="E3:E4"/>
    <mergeCell ref="F3:F4"/>
    <mergeCell ref="A2:A6"/>
    <mergeCell ref="A49:A50"/>
    <mergeCell ref="B49:C49"/>
    <mergeCell ref="D49:E49"/>
    <mergeCell ref="F49:G49"/>
    <mergeCell ref="F5:G5"/>
    <mergeCell ref="G3:G4"/>
    <mergeCell ref="A12:A16"/>
    <mergeCell ref="B23:C23"/>
    <mergeCell ref="D23:E23"/>
    <mergeCell ref="F23:G23"/>
    <mergeCell ref="H49:I49"/>
    <mergeCell ref="L49:M49"/>
    <mergeCell ref="B5:C5"/>
    <mergeCell ref="D5:E5"/>
    <mergeCell ref="H5:I5"/>
    <mergeCell ref="B11:C11"/>
    <mergeCell ref="D11:E11"/>
    <mergeCell ref="F11:G11"/>
    <mergeCell ref="H11:I11"/>
    <mergeCell ref="J11:K11"/>
    <mergeCell ref="B13:B14"/>
    <mergeCell ref="C13:C14"/>
    <mergeCell ref="D13:D14"/>
    <mergeCell ref="E13:E14"/>
    <mergeCell ref="F13:F14"/>
    <mergeCell ref="G13:G14"/>
    <mergeCell ref="K13:K14"/>
    <mergeCell ref="B15:C15"/>
    <mergeCell ref="D15:E15"/>
    <mergeCell ref="F15:G15"/>
    <mergeCell ref="H15:I15"/>
    <mergeCell ref="J15:K15"/>
    <mergeCell ref="D27:E27"/>
    <mergeCell ref="F27:G27"/>
    <mergeCell ref="H13:H14"/>
    <mergeCell ref="I13:I14"/>
    <mergeCell ref="J13:J14"/>
    <mergeCell ref="H27:I27"/>
    <mergeCell ref="J27:K27"/>
    <mergeCell ref="H23:I23"/>
    <mergeCell ref="J23:K23"/>
    <mergeCell ref="A24:A28"/>
    <mergeCell ref="B25:B26"/>
    <mergeCell ref="C25:C26"/>
    <mergeCell ref="D25:D26"/>
    <mergeCell ref="E25:E26"/>
    <mergeCell ref="F25:F26"/>
    <mergeCell ref="G25:G26"/>
    <mergeCell ref="H25:H26"/>
    <mergeCell ref="I25:I26"/>
    <mergeCell ref="J25:J26"/>
    <mergeCell ref="K25:K26"/>
    <mergeCell ref="B27:C27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ocordon</dc:creator>
  <cp:lastModifiedBy>Pablo Rodríguez Gniadek</cp:lastModifiedBy>
  <dcterms:created xsi:type="dcterms:W3CDTF">2013-03-05T10:35:34Z</dcterms:created>
  <dcterms:modified xsi:type="dcterms:W3CDTF">2026-10-10T12:17:00Z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